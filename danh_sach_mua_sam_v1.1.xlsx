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 &amp; Mục Lục" sheetId="1" state="visible" r:id="rId3"/>
    <sheet name="Danh Sách Mua Sắ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<sst xmlns="http://schemas.openxmlformats.org/spreadsheetml/2006/main" count="169" uniqueCount="102">
  <si>
    <t xml:space="preserve">BẢNG DỰ TOÁN &amp; DANH SÁCH MUA SẮM LINH KIỆN</t>
  </si>
  <si>
    <t xml:space="preserve">Dự án: Bể cá thông minh tích hợp IoT + AI (ESP32-S3 &amp; Raspberry Pi W)</t>
  </si>
  <si>
    <t xml:space="preserve">HƯỚNG DẪN SỬ DỤNG FILE</t>
  </si>
  <si>
    <t xml:space="preserve">1. File này gồm 2 Tab: 'Hướng Dẫn &amp; Mục Lục' (tab này) và 'Danh Sách Mua Sắm' (chứa bảng giá và link chi tiết).</t>
  </si>
  <si>
    <t xml:space="preserve">2. Cột 'Trạng thái' trong tab mua sắm có bộ lọc Dropdown: 'Chưa mua', 'Đang giao', 'Đã mua' để bạn dễ quản lý.</t>
  </si>
  <si>
    <t xml:space="preserve">3. Các cột màu xanh nhạt (Đơn giá, Số lượng, Trạng thái) là các ô bạn có thể nhập/thay đổi thủ công.</t>
  </si>
  <si>
    <t xml:space="preserve">4. Cột 'Thành tiền' được tính tự động bằng công thức Excel, không cần nhập tay.</t>
  </si>
  <si>
    <t xml:space="preserve">5. File đã được cấu hình sẵn để in (Print-ready) ở dạng Landscape khổ A4.</t>
  </si>
  <si>
    <t xml:space="preserve">CHÚ GIẢI MÀU SẮC</t>
  </si>
  <si>
    <t xml:space="preserve">Màu sắc</t>
  </si>
  <si>
    <t xml:space="preserve">Ý nghĩa</t>
  </si>
  <si>
    <t xml:space="preserve">Ví dụ sử dụng</t>
  </si>
  <si>
    <t xml:space="preserve">Xanh nhạt</t>
  </si>
  <si>
    <t xml:space="preserve">Ô dữ liệu nhập tay (Input)</t>
  </si>
  <si>
    <t xml:space="preserve">Số lượng, Đơn giá</t>
  </si>
  <si>
    <t xml:space="preserve">Lá cây nhạt</t>
  </si>
  <si>
    <t xml:space="preserve">Ô tính toán tự động (Formula)</t>
  </si>
  <si>
    <t xml:space="preserve">Thành tiền, Tổng cộng</t>
  </si>
  <si>
    <t xml:space="preserve">Không màu</t>
  </si>
  <si>
    <t xml:space="preserve">Thông tin tham khảo cố định</t>
  </si>
  <si>
    <t xml:space="preserve">Tên linh kiện, Mô tả</t>
  </si>
  <si>
    <t xml:space="preserve">👉 Chuyển sang Tab danh sách mua sắm:</t>
  </si>
  <si>
    <t xml:space="preserve">Danh Sách Mua Sắm</t>
  </si>
  <si>
    <t xml:space="preserve">DANH SÁCH CHI TIẾT VÀ DỰ TOÁN LINH KIỆN HỒ CÁ THÔNG MINH</t>
  </si>
  <si>
    <t xml:space="preserve">Cập nhật ngày: 2026-09-17 | Phiên bản v1.1 (Rev2 phần cứng + RTC) – giá mục mới là ước tính, cần kiểm tra lại</t>
  </si>
  <si>
    <t xml:space="preserve">Danh mục</t>
  </si>
  <si>
    <t xml:space="preserve">Tên linh kiện / Thiết bị</t>
  </si>
  <si>
    <t xml:space="preserve">Thông số kỹ thuật / Vai trò</t>
  </si>
  <si>
    <t xml:space="preserve">Số lượng</t>
  </si>
  <si>
    <t xml:space="preserve">Đơn giá (VND)</t>
  </si>
  <si>
    <t xml:space="preserve">Thành tiền (VND)</t>
  </si>
  <si>
    <t xml:space="preserve">Cửa hàng gợi ý</t>
  </si>
  <si>
    <t xml:space="preserve">Link tham khảo</t>
  </si>
  <si>
    <t xml:space="preserve">Trạng thái</t>
  </si>
  <si>
    <t xml:space="preserve">Thay đổi v1.1</t>
  </si>
  <si>
    <t xml:space="preserve">Mạch &amp; Cảm biến</t>
  </si>
  <si>
    <t xml:space="preserve">ESP32-S3 DevKit C (N8R8/N16R8)</t>
  </si>
  <si>
    <t xml:space="preserve">Vi điều khiển trung tâm IoT + AI, 8MB PSRAM xử lý ảnh/wifi mạnh mẽ</t>
  </si>
  <si>
    <t xml:space="preserve">Hshop.vn</t>
  </si>
  <si>
    <t xml:space="preserve">Link sản phẩm</t>
  </si>
  <si>
    <t xml:space="preserve">Chưa mua</t>
  </si>
  <si>
    <t xml:space="preserve">Màn hình OLED 1.3 Inch I2C (SH1106)</t>
  </si>
  <si>
    <t xml:space="preserve">128x64px, I2C 0x3C, cấp 3.3V – dùng chung bus I2C với RTC DS3231</t>
  </si>
  <si>
    <t xml:space="preserve">THAY TFT ST7789 SPI → OLED I2C cho khớp firmware &amp; bus chung RTC</t>
  </si>
  <si>
    <t xml:space="preserve">Cảm biến nhiệt độ DS18B20 chống nước</t>
  </si>
  <si>
    <t xml:space="preserve">Đọc nhiệt độ nước hồ cá, dây dài bọc kim loại chống nước tốt</t>
  </si>
  <si>
    <t xml:space="preserve">Micro Servo MG90S nhông kim loại</t>
  </si>
  <si>
    <t xml:space="preserve">Truyền động hộc xoay thức ăn tự động bền bỉ, lực kéo khỏe hơn SG90</t>
  </si>
  <si>
    <t xml:space="preserve">Module RTC DS3231 + Pin CR2032</t>
  </si>
  <si>
    <t xml:space="preserve">DS3231 ±2ppm, I2C 0x68, SQW 1Hz → GPIO7. Cấp 3.3V; gỡ trở/diode sạc nếu dùng CR2032</t>
  </si>
  <si>
    <t xml:space="preserve">Tích hợp ở W6 (Rel)</t>
  </si>
  <si>
    <t xml:space="preserve">Hệ Chiller</t>
  </si>
  <si>
    <t xml:space="preserve">Bộ Tản Nhiệt Cho Sò Nóng Lạnh Đôi</t>
  </si>
  <si>
    <t xml:space="preserve">Bộ đầy đủ gồm tản nhôm, quạt 12V thổi mát mặt nóng sò Peltier</t>
  </si>
  <si>
    <t xml:space="preserve">Điện tử Tuyết Nga</t>
  </si>
  <si>
    <t xml:space="preserve">Sò nóng lạnh Peltier TEC1-12706 12V 60W</t>
  </si>
  <si>
    <t xml:space="preserve">Sò nóng lạnh tạo chênh lệch nhiệt độ làm lạnh nước bể cá</t>
  </si>
  <si>
    <t xml:space="preserve">Caka.vn / Tuyết Nga</t>
  </si>
  <si>
    <t xml:space="preserve">Khối nhôm tản nhiệt nước (Water Block) 40x40mm</t>
  </si>
  <si>
    <t xml:space="preserve">Khối nhôm dẫn nước từ lọc thác chạy qua mặt lạnh của sò</t>
  </si>
  <si>
    <t xml:space="preserve">Caka.vn</t>
  </si>
  <si>
    <t xml:space="preserve">Keo tản nhiệt MX-4 &amp; Ống dẻo silicone</t>
  </si>
  <si>
    <t xml:space="preserve">Tăng tiếp xúc truyền nhiệt mặt sò, ống dẫn nước tuần hoàn</t>
  </si>
  <si>
    <t xml:space="preserve">Nguồn &amp; Phụ trợ</t>
  </si>
  <si>
    <t xml:space="preserve">Nguồn tổ ong 12V - 10A (120W)</t>
  </si>
  <si>
    <t xml:space="preserve">Tổng dòng đỉnh ≈ 8.2A (sò 6.4A + bơm + quạt + nhánh 5V)</t>
  </si>
  <si>
    <t xml:space="preserve">NÂNG 5A → 10A (5A không đủ cho sò TEC1-12706)</t>
  </si>
  <si>
    <t xml:space="preserve">Mạch hạ áp Buck LM2596</t>
  </si>
  <si>
    <t xml:space="preserve">Hạ áp từ 12V xuống 5V/3A cấp cho ESP32, Servo, Màn hình</t>
  </si>
  <si>
    <t xml:space="preserve">Linh kiện PCB phụ trợ</t>
  </si>
  <si>
    <t xml:space="preserve">Mosfet IRLZ44N (quạt), Buzzer 5V, trở 4.7k/10k/1k/100Ω, nút nhấn, dây bẹ</t>
  </si>
  <si>
    <t xml:space="preserve">Tuyệt Nga / Caka / ICdayroi</t>
  </si>
  <si>
    <t xml:space="preserve">IRLZ44N dùng điều khiển quạt riêng (GPIO15)</t>
  </si>
  <si>
    <t xml:space="preserve">Mạch PCB Đục Lỗ 1 Mặt Màu Xanh FR4 7x9cm</t>
  </si>
  <si>
    <t xml:space="preserve">Phíp thủy tinh cao cấp cứng cáp, chịu nhiệt tốt để tự hàn thủ công</t>
  </si>
  <si>
    <t xml:space="preserve">Module Relay 2 kênh 5V (opto, có jumper JD-VCC)</t>
  </si>
  <si>
    <t xml:space="preserve">Đóng ngắt sò Peltier (CH1) &amp; bơm (CH2), 10A/30VDC</t>
  </si>
  <si>
    <t xml:space="preserve">Hshop.vn / Tuyết Nga</t>
  </si>
  <si>
    <t xml:space="preserve">BỔ SUNG – thiếu trong v1.0</t>
  </si>
  <si>
    <t xml:space="preserve">Máy bơm mini 12V (bơm màng 385 / bơm chìm)</t>
  </si>
  <si>
    <t xml:space="preserve">Tuần hoàn nước bể → water block → bể</t>
  </si>
  <si>
    <t xml:space="preserve">Cầu chì 10A + đế cầu chì</t>
  </si>
  <si>
    <t xml:space="preserve">Bảo vệ quá dòng đầu vào 12V</t>
  </si>
  <si>
    <t xml:space="preserve">Tuyết Nga</t>
  </si>
  <si>
    <t xml:space="preserve">BỔ SUNG – an toàn điện</t>
  </si>
  <si>
    <t xml:space="preserve">Linh kiện driver &amp; lọc nguồn</t>
  </si>
  <si>
    <t xml:space="preserve">S8050 (còi), 1N5819 x2, tụ 1000µF/16V, 470µF x2, 100nF x5</t>
  </si>
  <si>
    <t xml:space="preserve">ICdayroi / Tuyết Nga</t>
  </si>
  <si>
    <t xml:space="preserve">BỔ SUNG – còi qua transistor, chống ngược, tụ servo</t>
  </si>
  <si>
    <t xml:space="preserve">Connector &amp; header</t>
  </si>
  <si>
    <t xml:space="preserve">Domino KF301 2P x6, header cái 2x22, JST-XH 4P x3</t>
  </si>
  <si>
    <t xml:space="preserve">BỔ SUNG – mạch tháo lắp được</t>
  </si>
  <si>
    <t xml:space="preserve">Dây điện 1mm² đỏ/đen (1m mỗi màu)</t>
  </si>
  <si>
    <t xml:space="preserve">Đường lực 12V cho sò Peltier</t>
  </si>
  <si>
    <t xml:space="preserve">BỔ SUNG – không đi dòng 6A trên PCB lỗ</t>
  </si>
  <si>
    <t xml:space="preserve">Máy tính nhúng (Tùy chọn)</t>
  </si>
  <si>
    <t xml:space="preserve">Máy tính Raspberry Pi Zero 2 W</t>
  </si>
  <si>
    <t xml:space="preserve">Làm server trung gian điều khiển, chạy local AI nhận diện hoặc Home Assistant</t>
  </si>
  <si>
    <t xml:space="preserve">Tùy chọn – không bắt buộc cho W6</t>
  </si>
  <si>
    <t xml:space="preserve">TỔNG CỘNG</t>
  </si>
  <si>
    <t xml:space="preserve">(chưa gồm Raspberry Pi tùy chọn)</t>
  </si>
  <si>
    <t xml:space="preserve">Kể cả RPi: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</si>
</sst>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1F497D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CE6F1"/>
      </patternFill>
    </fill>
    <fill>
      <patternFill patternType="solid">
        <fgColor rgb="FFDCE6F1"/>
        <bgColor rgb="FFD9E1F2"/>
      </patternFill>
    </fill>
    <fill>
      <patternFill patternType="solid">
        <fgColor rgb="FFE2EFDA"/>
        <bgColor rgb="FFDCE6F1"/>
      </patternFill>
    </fill>
    <fill>
      <patternFill patternType="solid">
        <fgColor rgb="FF4472C4"/>
        <bgColor rgb="FF0563C1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anh_sach_mua_sam_v1.1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hshop.vn/collections/all" TargetMode="External"/><Relationship Id="rId2" Type="http://schemas.openxmlformats.org/officeDocument/2006/relationships/hyperlink" Target="https://hshop.vn/products/man-hinh-lcd-tft-1-54-inch-st7789-spi-interface" TargetMode="External"/><Relationship Id="rId3" Type="http://schemas.openxmlformats.org/officeDocument/2006/relationships/hyperlink" Target="https://hshop.vn/collections/all" TargetMode="External"/><Relationship Id="rId4" Type="http://schemas.openxmlformats.org/officeDocument/2006/relationships/hyperlink" Target="https://hshop.vn/collections/all" TargetMode="External"/><Relationship Id="rId5" Type="http://schemas.openxmlformats.org/officeDocument/2006/relationships/hyperlink" Target="https://hshop.vn/collections/all" TargetMode="External"/><Relationship Id="rId6" Type="http://schemas.openxmlformats.org/officeDocument/2006/relationships/hyperlink" Target="https://dientutuyetnga.com/products/bo-tan-nhiet-cho-so-nong-lanh-doi-ban-day-du" TargetMode="External"/><Relationship Id="rId7" Type="http://schemas.openxmlformats.org/officeDocument/2006/relationships/hyperlink" Target="https://caka.vn/so-nong-lanh-12v-tec1-12706-60w-12710-100w-12715-150w" TargetMode="External"/><Relationship Id="rId8" Type="http://schemas.openxmlformats.org/officeDocument/2006/relationships/hyperlink" Target="https://caka.vn/collections/all" TargetMode="External"/><Relationship Id="rId9" Type="http://schemas.openxmlformats.org/officeDocument/2006/relationships/hyperlink" Target="https://caka.vn/collections/all" TargetMode="External"/><Relationship Id="rId10" Type="http://schemas.openxmlformats.org/officeDocument/2006/relationships/hyperlink" Target="https://dientutuyetnga.com/collections/nguon-to-ong-nguon-xung" TargetMode="External"/><Relationship Id="rId11" Type="http://schemas.openxmlformats.org/officeDocument/2006/relationships/hyperlink" Target="https://dientutuyetnga.com/collections/mach-giam-ap" TargetMode="External"/><Relationship Id="rId12" Type="http://schemas.openxmlformats.org/officeDocument/2006/relationships/hyperlink" Target="https://dientutuyetnga.com/collections/all" TargetMode="External"/><Relationship Id="rId13" Type="http://schemas.openxmlformats.org/officeDocument/2006/relationships/hyperlink" Target="https://caka.vn/mach-pcb-duc-lo-1-mat-mau-xanh-loai-tot-de-han" TargetMode="External"/><Relationship Id="rId14" Type="http://schemas.openxmlformats.org/officeDocument/2006/relationships/hyperlink" Target="https://caka.vn/mach-pcb-duc-lo-1-mat-mau-xanh-loai-tot-de-han" TargetMode="External"/><Relationship Id="rId15" Type="http://schemas.openxmlformats.org/officeDocument/2006/relationships/hyperlink" Target="https://caka.vn/mach-pcb-duc-lo-1-mat-mau-xanh-loai-tot-de-han" TargetMode="External"/><Relationship Id="rId16" Type="http://schemas.openxmlformats.org/officeDocument/2006/relationships/hyperlink" Target="https://caka.vn/mach-pcb-duc-lo-1-mat-mau-xanh-loai-tot-de-han" TargetMode="External"/><Relationship Id="rId17" Type="http://schemas.openxmlformats.org/officeDocument/2006/relationships/hyperlink" Target="https://caka.vn/mach-pcb-duc-lo-1-mat-mau-xanh-loai-tot-de-han" TargetMode="External"/><Relationship Id="rId18" Type="http://schemas.openxmlformats.org/officeDocument/2006/relationships/hyperlink" Target="https://caka.vn/mach-pcb-duc-lo-1-mat-mau-xanh-loai-tot-de-han" TargetMode="External"/><Relationship Id="rId19" Type="http://schemas.openxmlformats.org/officeDocument/2006/relationships/hyperlink" Target="https://caka.vn/mach-pcb-duc-lo-1-mat-mau-xanh-loai-tot-de-han" TargetMode="External"/><Relationship Id="rId20" Type="http://schemas.openxmlformats.org/officeDocument/2006/relationships/hyperlink" Target="https://hshop.vn/products/may-tinh-raspberry-pi-zero-2-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9.7" hidden="false" customHeight="false" outlineLevel="0" collapsed="false">
      <c r="A2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3" customFormat="false" ht="15" hidden="false" customHeight="false" outlineLevel="0" collapsed="false">
      <c r="A13" s="3" t="s">
        <v>8</v>
      </c>
    </row>
    <row r="14" customFormat="false" ht="28.35" hidden="false" customHeight="false" outlineLevel="0" collapsed="false">
      <c r="A14" s="5" t="s">
        <v>9</v>
      </c>
      <c r="B14" s="5" t="s">
        <v>10</v>
      </c>
      <c r="C14" s="5" t="s">
        <v>11</v>
      </c>
    </row>
    <row r="15" customFormat="false" ht="41.75" hidden="false" customHeight="false" outlineLevel="0" collapsed="false">
      <c r="A15" s="6" t="s">
        <v>12</v>
      </c>
      <c r="B15" s="7" t="s">
        <v>13</v>
      </c>
      <c r="C15" s="7" t="s">
        <v>14</v>
      </c>
    </row>
    <row r="16" customFormat="false" ht="68.65" hidden="false" customHeight="false" outlineLevel="0" collapsed="false">
      <c r="A16" s="8" t="s">
        <v>15</v>
      </c>
      <c r="B16" s="7" t="s">
        <v>16</v>
      </c>
      <c r="C16" s="7" t="s">
        <v>17</v>
      </c>
    </row>
    <row r="17" customFormat="false" ht="55.2" hidden="false" customHeight="false" outlineLevel="0" collapsed="false">
      <c r="A17" s="9" t="s">
        <v>18</v>
      </c>
      <c r="B17" s="7" t="s">
        <v>19</v>
      </c>
      <c r="C17" s="7" t="s">
        <v>20</v>
      </c>
    </row>
    <row r="19" customFormat="false" ht="15" hidden="false" customHeight="false" outlineLevel="0" collapsed="false">
      <c r="A19" s="10" t="s">
        <v>21</v>
      </c>
      <c r="B19" s="11" t="s">
        <v>22</v>
      </c>
    </row>
  </sheetData>
  <hyperlinks>
    <hyperlink ref="B19" r:id="rId1" location="'Danh%20Sách%20Mua%20Sắm'!A1" display="Danh Sách Mua Sắ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5"/>
    <col collapsed="false" customWidth="true" hidden="false" outlineLevel="0" max="10" min="10" style="0" width="48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7.75" hidden="false" customHeight="true" outlineLevel="0" collapsed="false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</row>
    <row r="5" customFormat="false" ht="28.35" hidden="false" customHeight="false" outlineLevel="0" collapsed="false">
      <c r="A5" s="7" t="s">
        <v>35</v>
      </c>
      <c r="B5" s="13" t="s">
        <v>36</v>
      </c>
      <c r="C5" s="7" t="s">
        <v>37</v>
      </c>
      <c r="D5" s="14" t="n">
        <v>1</v>
      </c>
      <c r="E5" s="15" t="n">
        <v>180000</v>
      </c>
      <c r="F5" s="16" t="n">
        <f aca="false">D5*E5</f>
        <v>180000</v>
      </c>
      <c r="G5" s="7" t="s">
        <v>38</v>
      </c>
      <c r="H5" s="17" t="s">
        <v>39</v>
      </c>
      <c r="I5" s="6" t="s">
        <v>40</v>
      </c>
      <c r="J5" s="7"/>
    </row>
    <row r="6" customFormat="false" ht="28.35" hidden="false" customHeight="false" outlineLevel="0" collapsed="false">
      <c r="A6" s="18" t="s">
        <v>35</v>
      </c>
      <c r="B6" s="19" t="s">
        <v>41</v>
      </c>
      <c r="C6" s="18" t="s">
        <v>42</v>
      </c>
      <c r="D6" s="14" t="n">
        <v>1</v>
      </c>
      <c r="E6" s="15" t="n">
        <v>110000</v>
      </c>
      <c r="F6" s="16" t="n">
        <f aca="false">D6*E6</f>
        <v>110000</v>
      </c>
      <c r="G6" s="18" t="s">
        <v>38</v>
      </c>
      <c r="H6" s="20" t="s">
        <v>39</v>
      </c>
      <c r="I6" s="6" t="s">
        <v>40</v>
      </c>
      <c r="J6" s="18" t="s">
        <v>43</v>
      </c>
    </row>
    <row r="7" customFormat="false" ht="28.35" hidden="false" customHeight="false" outlineLevel="0" collapsed="false">
      <c r="A7" s="7" t="s">
        <v>35</v>
      </c>
      <c r="B7" s="13" t="s">
        <v>44</v>
      </c>
      <c r="C7" s="7" t="s">
        <v>45</v>
      </c>
      <c r="D7" s="14" t="n">
        <v>1</v>
      </c>
      <c r="E7" s="15" t="n">
        <v>35000</v>
      </c>
      <c r="F7" s="16" t="n">
        <f aca="false">D7*E7</f>
        <v>35000</v>
      </c>
      <c r="G7" s="7" t="s">
        <v>38</v>
      </c>
      <c r="H7" s="17" t="s">
        <v>39</v>
      </c>
      <c r="I7" s="6" t="s">
        <v>40</v>
      </c>
      <c r="J7" s="7"/>
    </row>
    <row r="8" customFormat="false" ht="28.35" hidden="false" customHeight="false" outlineLevel="0" collapsed="false">
      <c r="A8" s="18" t="s">
        <v>35</v>
      </c>
      <c r="B8" s="19" t="s">
        <v>46</v>
      </c>
      <c r="C8" s="18" t="s">
        <v>47</v>
      </c>
      <c r="D8" s="14" t="n">
        <v>1</v>
      </c>
      <c r="E8" s="15" t="n">
        <v>45000</v>
      </c>
      <c r="F8" s="16" t="n">
        <f aca="false">D8*E8</f>
        <v>45000</v>
      </c>
      <c r="G8" s="18" t="s">
        <v>38</v>
      </c>
      <c r="H8" s="20" t="s">
        <v>39</v>
      </c>
      <c r="I8" s="6" t="s">
        <v>40</v>
      </c>
      <c r="J8" s="18"/>
    </row>
    <row r="9" customFormat="false" ht="28.35" hidden="false" customHeight="false" outlineLevel="0" collapsed="false">
      <c r="A9" s="7" t="s">
        <v>35</v>
      </c>
      <c r="B9" s="13" t="s">
        <v>48</v>
      </c>
      <c r="C9" s="7" t="s">
        <v>49</v>
      </c>
      <c r="D9" s="14" t="n">
        <v>1</v>
      </c>
      <c r="E9" s="15" t="n">
        <v>30000</v>
      </c>
      <c r="F9" s="16" t="n">
        <f aca="false">D9*E9</f>
        <v>30000</v>
      </c>
      <c r="G9" s="7" t="s">
        <v>38</v>
      </c>
      <c r="H9" s="17" t="s">
        <v>39</v>
      </c>
      <c r="I9" s="6" t="s">
        <v>40</v>
      </c>
      <c r="J9" s="7" t="s">
        <v>50</v>
      </c>
    </row>
    <row r="10" customFormat="false" ht="28.35" hidden="false" customHeight="false" outlineLevel="0" collapsed="false">
      <c r="A10" s="18" t="s">
        <v>51</v>
      </c>
      <c r="B10" s="19" t="s">
        <v>52</v>
      </c>
      <c r="C10" s="18" t="s">
        <v>53</v>
      </c>
      <c r="D10" s="14" t="n">
        <v>1</v>
      </c>
      <c r="E10" s="15" t="n">
        <v>178000</v>
      </c>
      <c r="F10" s="16" t="n">
        <f aca="false">D10*E10</f>
        <v>178000</v>
      </c>
      <c r="G10" s="18" t="s">
        <v>54</v>
      </c>
      <c r="H10" s="20" t="s">
        <v>39</v>
      </c>
      <c r="I10" s="6" t="s">
        <v>40</v>
      </c>
      <c r="J10" s="18"/>
    </row>
    <row r="11" customFormat="false" ht="28.35" hidden="false" customHeight="false" outlineLevel="0" collapsed="false">
      <c r="A11" s="7" t="s">
        <v>51</v>
      </c>
      <c r="B11" s="13" t="s">
        <v>55</v>
      </c>
      <c r="C11" s="7" t="s">
        <v>56</v>
      </c>
      <c r="D11" s="14" t="n">
        <v>1</v>
      </c>
      <c r="E11" s="15" t="n">
        <v>60000</v>
      </c>
      <c r="F11" s="16" t="n">
        <f aca="false">D11*E11</f>
        <v>60000</v>
      </c>
      <c r="G11" s="7" t="s">
        <v>57</v>
      </c>
      <c r="H11" s="17" t="s">
        <v>39</v>
      </c>
      <c r="I11" s="6" t="s">
        <v>40</v>
      </c>
      <c r="J11" s="7"/>
    </row>
    <row r="12" customFormat="false" ht="28.35" hidden="false" customHeight="false" outlineLevel="0" collapsed="false">
      <c r="A12" s="18" t="s">
        <v>51</v>
      </c>
      <c r="B12" s="19" t="s">
        <v>58</v>
      </c>
      <c r="C12" s="18" t="s">
        <v>59</v>
      </c>
      <c r="D12" s="14" t="n">
        <v>1</v>
      </c>
      <c r="E12" s="15" t="n">
        <v>45000</v>
      </c>
      <c r="F12" s="16" t="n">
        <f aca="false">D12*E12</f>
        <v>45000</v>
      </c>
      <c r="G12" s="18" t="s">
        <v>60</v>
      </c>
      <c r="H12" s="20" t="s">
        <v>39</v>
      </c>
      <c r="I12" s="6" t="s">
        <v>40</v>
      </c>
      <c r="J12" s="18"/>
    </row>
    <row r="13" customFormat="false" ht="28.35" hidden="false" customHeight="false" outlineLevel="0" collapsed="false">
      <c r="A13" s="7" t="s">
        <v>51</v>
      </c>
      <c r="B13" s="13" t="s">
        <v>61</v>
      </c>
      <c r="C13" s="7" t="s">
        <v>62</v>
      </c>
      <c r="D13" s="14" t="n">
        <v>1</v>
      </c>
      <c r="E13" s="15" t="n">
        <v>40000</v>
      </c>
      <c r="F13" s="16" t="n">
        <f aca="false">D13*E13</f>
        <v>40000</v>
      </c>
      <c r="G13" s="7" t="s">
        <v>57</v>
      </c>
      <c r="H13" s="17" t="s">
        <v>39</v>
      </c>
      <c r="I13" s="6" t="s">
        <v>40</v>
      </c>
      <c r="J13" s="7"/>
    </row>
    <row r="14" customFormat="false" ht="28.35" hidden="false" customHeight="false" outlineLevel="0" collapsed="false">
      <c r="A14" s="18" t="s">
        <v>63</v>
      </c>
      <c r="B14" s="19" t="s">
        <v>64</v>
      </c>
      <c r="C14" s="18" t="s">
        <v>65</v>
      </c>
      <c r="D14" s="14" t="n">
        <v>1</v>
      </c>
      <c r="E14" s="15" t="n">
        <v>180000</v>
      </c>
      <c r="F14" s="16" t="n">
        <f aca="false">D14*E14</f>
        <v>180000</v>
      </c>
      <c r="G14" s="18" t="s">
        <v>54</v>
      </c>
      <c r="H14" s="20" t="s">
        <v>39</v>
      </c>
      <c r="I14" s="6" t="s">
        <v>40</v>
      </c>
      <c r="J14" s="18" t="s">
        <v>66</v>
      </c>
    </row>
    <row r="15" customFormat="false" ht="28.35" hidden="false" customHeight="false" outlineLevel="0" collapsed="false">
      <c r="A15" s="7" t="s">
        <v>63</v>
      </c>
      <c r="B15" s="13" t="s">
        <v>67</v>
      </c>
      <c r="C15" s="7" t="s">
        <v>68</v>
      </c>
      <c r="D15" s="14" t="n">
        <v>1</v>
      </c>
      <c r="E15" s="15" t="n">
        <v>20000</v>
      </c>
      <c r="F15" s="16" t="n">
        <f aca="false">D15*E15</f>
        <v>20000</v>
      </c>
      <c r="G15" s="7" t="s">
        <v>54</v>
      </c>
      <c r="H15" s="17" t="s">
        <v>39</v>
      </c>
      <c r="I15" s="6" t="s">
        <v>40</v>
      </c>
      <c r="J15" s="7"/>
    </row>
    <row r="16" customFormat="false" ht="28.35" hidden="false" customHeight="false" outlineLevel="0" collapsed="false">
      <c r="A16" s="18" t="s">
        <v>63</v>
      </c>
      <c r="B16" s="19" t="s">
        <v>69</v>
      </c>
      <c r="C16" s="18" t="s">
        <v>70</v>
      </c>
      <c r="D16" s="14" t="n">
        <v>1</v>
      </c>
      <c r="E16" s="15" t="n">
        <v>90000</v>
      </c>
      <c r="F16" s="16" t="n">
        <f aca="false">D16*E16</f>
        <v>90000</v>
      </c>
      <c r="G16" s="18" t="s">
        <v>71</v>
      </c>
      <c r="H16" s="20" t="s">
        <v>39</v>
      </c>
      <c r="I16" s="6" t="s">
        <v>40</v>
      </c>
      <c r="J16" s="18" t="s">
        <v>72</v>
      </c>
    </row>
    <row r="17" customFormat="false" ht="28.35" hidden="false" customHeight="false" outlineLevel="0" collapsed="false">
      <c r="A17" s="7" t="s">
        <v>63</v>
      </c>
      <c r="B17" s="13" t="s">
        <v>73</v>
      </c>
      <c r="C17" s="7" t="s">
        <v>74</v>
      </c>
      <c r="D17" s="14" t="n">
        <v>1</v>
      </c>
      <c r="E17" s="15" t="n">
        <v>15000</v>
      </c>
      <c r="F17" s="16" t="n">
        <f aca="false">D17*E17</f>
        <v>15000</v>
      </c>
      <c r="G17" s="7" t="s">
        <v>60</v>
      </c>
      <c r="H17" s="17" t="s">
        <v>39</v>
      </c>
      <c r="I17" s="6" t="s">
        <v>40</v>
      </c>
      <c r="J17" s="7"/>
    </row>
    <row r="18" customFormat="false" ht="28.35" hidden="false" customHeight="false" outlineLevel="0" collapsed="false">
      <c r="A18" s="7" t="s">
        <v>35</v>
      </c>
      <c r="B18" s="13" t="s">
        <v>75</v>
      </c>
      <c r="C18" s="7" t="s">
        <v>76</v>
      </c>
      <c r="D18" s="14" t="n">
        <v>1</v>
      </c>
      <c r="E18" s="15" t="n">
        <v>25000</v>
      </c>
      <c r="F18" s="16" t="n">
        <f aca="false">D18*E18</f>
        <v>25000</v>
      </c>
      <c r="G18" s="7" t="s">
        <v>77</v>
      </c>
      <c r="H18" s="17" t="s">
        <v>39</v>
      </c>
      <c r="I18" s="6" t="s">
        <v>40</v>
      </c>
      <c r="J18" s="7" t="s">
        <v>78</v>
      </c>
    </row>
    <row r="19" customFormat="false" ht="28.35" hidden="false" customHeight="false" outlineLevel="0" collapsed="false">
      <c r="A19" s="7" t="s">
        <v>51</v>
      </c>
      <c r="B19" s="13" t="s">
        <v>79</v>
      </c>
      <c r="C19" s="7" t="s">
        <v>80</v>
      </c>
      <c r="D19" s="14" t="n">
        <v>1</v>
      </c>
      <c r="E19" s="15" t="n">
        <v>70000</v>
      </c>
      <c r="F19" s="16" t="n">
        <f aca="false">D19*E19</f>
        <v>70000</v>
      </c>
      <c r="G19" s="7" t="s">
        <v>57</v>
      </c>
      <c r="H19" s="17" t="s">
        <v>39</v>
      </c>
      <c r="I19" s="6" t="s">
        <v>40</v>
      </c>
      <c r="J19" s="7" t="s">
        <v>78</v>
      </c>
    </row>
    <row r="20" customFormat="false" ht="15" hidden="false" customHeight="false" outlineLevel="0" collapsed="false">
      <c r="A20" s="7" t="s">
        <v>63</v>
      </c>
      <c r="B20" s="13" t="s">
        <v>81</v>
      </c>
      <c r="C20" s="7" t="s">
        <v>82</v>
      </c>
      <c r="D20" s="14" t="n">
        <v>1</v>
      </c>
      <c r="E20" s="15" t="n">
        <v>15000</v>
      </c>
      <c r="F20" s="16" t="n">
        <f aca="false">D20*E20</f>
        <v>15000</v>
      </c>
      <c r="G20" s="7" t="s">
        <v>83</v>
      </c>
      <c r="H20" s="17" t="s">
        <v>39</v>
      </c>
      <c r="I20" s="6" t="s">
        <v>40</v>
      </c>
      <c r="J20" s="7" t="s">
        <v>84</v>
      </c>
    </row>
    <row r="21" customFormat="false" ht="28.35" hidden="false" customHeight="false" outlineLevel="0" collapsed="false">
      <c r="A21" s="7" t="s">
        <v>63</v>
      </c>
      <c r="B21" s="13" t="s">
        <v>85</v>
      </c>
      <c r="C21" s="7" t="s">
        <v>86</v>
      </c>
      <c r="D21" s="14" t="n">
        <v>1</v>
      </c>
      <c r="E21" s="15" t="n">
        <v>25000</v>
      </c>
      <c r="F21" s="16" t="n">
        <f aca="false">D21*E21</f>
        <v>25000</v>
      </c>
      <c r="G21" s="7" t="s">
        <v>87</v>
      </c>
      <c r="H21" s="17" t="s">
        <v>39</v>
      </c>
      <c r="I21" s="6" t="s">
        <v>40</v>
      </c>
      <c r="J21" s="7" t="s">
        <v>88</v>
      </c>
    </row>
    <row r="22" customFormat="false" ht="15" hidden="false" customHeight="false" outlineLevel="0" collapsed="false">
      <c r="A22" s="7" t="s">
        <v>63</v>
      </c>
      <c r="B22" s="13" t="s">
        <v>89</v>
      </c>
      <c r="C22" s="7" t="s">
        <v>90</v>
      </c>
      <c r="D22" s="14" t="n">
        <v>1</v>
      </c>
      <c r="E22" s="15" t="n">
        <v>35000</v>
      </c>
      <c r="F22" s="16" t="n">
        <f aca="false">D22*E22</f>
        <v>35000</v>
      </c>
      <c r="G22" s="7" t="s">
        <v>60</v>
      </c>
      <c r="H22" s="17" t="s">
        <v>39</v>
      </c>
      <c r="I22" s="6" t="s">
        <v>40</v>
      </c>
      <c r="J22" s="7" t="s">
        <v>91</v>
      </c>
    </row>
    <row r="23" customFormat="false" ht="28.35" hidden="false" customHeight="false" outlineLevel="0" collapsed="false">
      <c r="A23" s="7" t="s">
        <v>63</v>
      </c>
      <c r="B23" s="13" t="s">
        <v>92</v>
      </c>
      <c r="C23" s="7" t="s">
        <v>93</v>
      </c>
      <c r="D23" s="14" t="n">
        <v>1</v>
      </c>
      <c r="E23" s="15" t="n">
        <v>20000</v>
      </c>
      <c r="F23" s="16" t="n">
        <f aca="false">D23*E23</f>
        <v>20000</v>
      </c>
      <c r="G23" s="7" t="s">
        <v>83</v>
      </c>
      <c r="H23" s="17" t="s">
        <v>39</v>
      </c>
      <c r="I23" s="6" t="s">
        <v>40</v>
      </c>
      <c r="J23" s="7" t="s">
        <v>94</v>
      </c>
    </row>
    <row r="24" customFormat="false" ht="28.35" hidden="false" customHeight="false" outlineLevel="0" collapsed="false">
      <c r="A24" s="18" t="s">
        <v>95</v>
      </c>
      <c r="B24" s="19" t="s">
        <v>96</v>
      </c>
      <c r="C24" s="18" t="s">
        <v>97</v>
      </c>
      <c r="D24" s="14" t="n">
        <v>1</v>
      </c>
      <c r="E24" s="15" t="n">
        <v>729000</v>
      </c>
      <c r="F24" s="16" t="n">
        <f aca="false">D24*E24</f>
        <v>729000</v>
      </c>
      <c r="G24" s="18" t="s">
        <v>38</v>
      </c>
      <c r="H24" s="20" t="s">
        <v>39</v>
      </c>
      <c r="I24" s="6" t="s">
        <v>40</v>
      </c>
      <c r="J24" s="18" t="s">
        <v>98</v>
      </c>
    </row>
    <row r="25" customFormat="false" ht="41.75" hidden="false" customHeight="false" outlineLevel="0" collapsed="false">
      <c r="A25" s="21" t="s">
        <v>99</v>
      </c>
      <c r="B25" s="21"/>
      <c r="C25" s="21"/>
      <c r="D25" s="22"/>
      <c r="E25" s="23"/>
      <c r="F25" s="24" t="n">
        <f aca="false">SUM(F5:F23)</f>
        <v>1218000</v>
      </c>
      <c r="G25" s="21" t="s">
        <v>100</v>
      </c>
      <c r="H25" s="25"/>
      <c r="I25" s="25"/>
      <c r="J25" s="21"/>
    </row>
    <row r="26" customFormat="false" ht="15" hidden="false" customHeight="false" outlineLevel="0" collapsed="false">
      <c r="A26" s="26"/>
      <c r="B26" s="26"/>
      <c r="C26" s="26"/>
      <c r="D26" s="26"/>
      <c r="E26" s="27" t="s">
        <v>101</v>
      </c>
      <c r="F26" s="24" t="n">
        <f aca="false">SUM(F5:F24)</f>
        <v>1947000</v>
      </c>
      <c r="G26" s="26"/>
      <c r="H26" s="26"/>
      <c r="I26" s="26"/>
      <c r="J26" s="26"/>
    </row>
  </sheetData>
  <dataValidations count="1">
    <dataValidation allowBlank="true" errorStyle="stop" operator="between" showDropDown="false" showErrorMessage="false" showInputMessage="false" sqref="I5:I24" type="list">
      <formula1>"Chưa mua,Đang giao,Đã mua"</formula1>
      <formula2>0</formula2>
    </dataValidation>
  </dataValidations>
  <hyperlinks>
    <hyperlink ref="H5" r:id="rId1" display="Link sản phẩm"/>
    <hyperlink ref="H6" r:id="rId2" display="Link sản phẩm"/>
    <hyperlink ref="H7" r:id="rId3" display="Link sản phẩm"/>
    <hyperlink ref="H8" r:id="rId4" display="Link sản phẩm"/>
    <hyperlink ref="H9" r:id="rId5" display="Link sản phẩm"/>
    <hyperlink ref="H10" r:id="rId6" display="Link sản phẩm"/>
    <hyperlink ref="H11" r:id="rId7" display="Link sản phẩm"/>
    <hyperlink ref="H12" r:id="rId8" display="Link sản phẩm"/>
    <hyperlink ref="H13" r:id="rId9" display="Link sản phẩm"/>
    <hyperlink ref="H14" r:id="rId10" display="Link sản phẩm"/>
    <hyperlink ref="H15" r:id="rId11" display="Link sản phẩm"/>
    <hyperlink ref="H16" r:id="rId12" display="Link sản phẩm"/>
    <hyperlink ref="H17" r:id="rId13" display="Link sản phẩm"/>
    <hyperlink ref="H18" r:id="rId14" display="Link sản phẩm"/>
    <hyperlink ref="H19" r:id="rId15" display="Link sản phẩm"/>
    <hyperlink ref="H20" r:id="rId16" display="Link sản phẩm"/>
    <hyperlink ref="H21" r:id="rId17" display="Link sản phẩm"/>
    <hyperlink ref="H22" r:id="rId18" display="Link sản phẩm"/>
    <hyperlink ref="H23" r:id="rId19" display="Link sản phẩm"/>
    <hyperlink ref="H24" r:id="rId20" display="Link sản phẩ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2026-08-24T06:41:22Z</dcterms:created>
  <dc:creator>openpyxl</dc:creator>
  <dc:description/>
  <dc:language>en-US</dc:language>
  <cp:lastModifiedBy/>
  <dcterms:modified xsi:type="dcterms:W3CDTF">2026-09-17T06:35:54Z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