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F2E072D-9C8D-472B-9C6B-B51F9193292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uong Dan &amp; Muc Luc" sheetId="1" r:id="rId1"/>
    <sheet name="Tien Do Du 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E4" i="2" s="1"/>
  <c r="C4" i="2"/>
  <c r="C11" i="1"/>
</calcChain>
</file>

<file path=xl/sharedStrings.xml><?xml version="1.0" encoding="utf-8"?>
<sst xmlns="http://schemas.openxmlformats.org/spreadsheetml/2006/main" count="104" uniqueCount="73">
  <si>
    <t>HƯỚNG DẪN &amp; MỤC LỤC TIẾN ĐỘ</t>
  </si>
  <si>
    <t>Dự án:</t>
  </si>
  <si>
    <t>BỂ CÁ THÔNG MINH AI (IoT + AI Smart Aquarium)</t>
  </si>
  <si>
    <t>Phiên bản:</t>
  </si>
  <si>
    <t>v1.1 (Cập nhật ngày lắp ráp cơ khí thành công)</t>
  </si>
  <si>
    <t>Tác giả:</t>
  </si>
  <si>
    <t>Tự làm (DIY) - Gemini Notebook hỗ trợ</t>
  </si>
  <si>
    <t>MỤC LỤC TÀI LIỆU</t>
  </si>
  <si>
    <t>Tên Sheet</t>
  </si>
  <si>
    <t>Mô tả nội dung &amp; Liên kết nhanh</t>
  </si>
  <si>
    <t>Huong Dan &amp; Muc Luc</t>
  </si>
  <si>
    <t>Trang chứa thông tin giới thiệu, chú giải và hướng dẫn sử dụng file.</t>
  </si>
  <si>
    <t>Tien Do Du An</t>
  </si>
  <si>
    <t>CHÚ GIẢI MÀU TRẠNG THÁI</t>
  </si>
  <si>
    <t>Chưa bắt đầu</t>
  </si>
  <si>
    <t>Trạng thái công việc chưa tiến hành.</t>
  </si>
  <si>
    <t>Đang thực hiện</t>
  </si>
  <si>
    <t>Công việc đang được xử lý hoặc lập trình.</t>
  </si>
  <si>
    <t>Đã hoàn thành</t>
  </si>
  <si>
    <t>Công việc đã hoàn thành lắp ráp/kiểm thử.</t>
  </si>
  <si>
    <t>Bị nghẽn</t>
  </si>
  <si>
    <t>Có lỗi phần cứng/phần mềm cần debug.</t>
  </si>
  <si>
    <t>BẢNG THEO DÕI TIẾN ĐỘ DỰ ÁN HỒ CÁ THÔNG MINH IOT + AI</t>
  </si>
  <si>
    <t>TÓM TẮT
TIẾN ĐỘ</t>
  </si>
  <si>
    <t>Tổng số tác vụ</t>
  </si>
  <si>
    <t>Tỉ lệ hoàn thành</t>
  </si>
  <si>
    <t>STT</t>
  </si>
  <si>
    <t>Giai đoạn</t>
  </si>
  <si>
    <t>Nội dung công việc chi tiết</t>
  </si>
  <si>
    <t>Trạng thái (Dropdown)</t>
  </si>
  <si>
    <t>Ngày bắt đầu</t>
  </si>
  <si>
    <t>Hạn chót</t>
  </si>
  <si>
    <t>Ghi chú kỹ thuật &amp; Lưu ý quan trọng</t>
  </si>
  <si>
    <t>1. Cơ khí &amp; Tản nhiệt</t>
  </si>
  <si>
    <t>Lắp ráp bộ lọc nước bể cá mini (Lọc thác đi kèm)</t>
  </si>
  <si>
    <t>2026-08-20</t>
  </si>
  <si>
    <t>2026-08-21</t>
  </si>
  <si>
    <t>Đã hoàn thành lắp ráp bộ lọc thác mồi nước chảy ổn định.</t>
  </si>
  <si>
    <t>Lắp ráp sò lạnh Peltier TEC1-12706 vào khối tản nhiệt nước và khối tản nhiệt khí kèm quạt 12V</t>
  </si>
  <si>
    <t>2026-08-22</t>
  </si>
  <si>
    <t>Bôi keo tản nhiệt MX-4 đều 2 mặt, nẹp chặt để tránh cháy sò Peltier.</t>
  </si>
  <si>
    <t>Đi đường ống nước dẻo dẫn dòng nước từ đầu xả của lọc thác chạy qua khối nhôm tản nhiệt nước rồi quay lại hồ</t>
  </si>
  <si>
    <t>2026-08-23</t>
  </si>
  <si>
    <t>Sử dụng ống silicone dẻo phi 6-8mm, kiểm tra kỹ để nước không rò rỉ.</t>
  </si>
  <si>
    <t>2. Hàn mạch &amp; Đi dây PCB</t>
  </si>
  <si>
    <t>Sắp xếp linh kiện thô lên phíp xanh đục lỗ FR4 7x9cm và hàn hàng rào cái (header) cho ESP32-S3, RTC, LCD</t>
  </si>
  <si>
    <t>Dùng hàng rào cái cắm module để dễ rút chip nạp code và chống hư hỏng do nhiệt hàn.</t>
  </si>
  <si>
    <t>Hàn mạch công suất điều khiển Chiller (MOSFET kênh N IRLZ44N, Diode 1N4007 dập xung ngược, Optocoupler PC817, Domino)</t>
  </si>
  <si>
    <t>Cách ly quang PC817 giữa tín hiệu 3.3V của ESP32-S3 với nguồn 12V động lực Chiller.</t>
  </si>
  <si>
    <t>Hàn linh kiện bổ trợ (Transistor đệm còi buzzer S8050, còi báo động, điện trở kéo 4.7kΩ cho cảm biến DS18B20, 2 nút nhấn)</t>
  </si>
  <si>
    <t>Nút nhấn cấu hình INPUT_PULLUP trong code để kích xuống GND an toàn.</t>
  </si>
  <si>
    <t>Hàn mạch hạ áp Buck LM2596 và điều chỉnh biến trở về đúng điện áp 5.0V ổn định</t>
  </si>
  <si>
    <t>LƯU Ý: Phải chỉnh biến trở LM2596 về đúng 5V bằng đồng hồ đo trước khi nối dây vào ESP32-S3.</t>
  </si>
  <si>
    <t>Hàn đường dây đồng trần gánh dòng lớn (4-5A) mặt dưới cho Peltier và đi dây bẹ tín hiệu màu sắc gọn gàng</t>
  </si>
  <si>
    <t>Hàn phủ thiếc đè lên dây đồng lõi đơn để dẫn dòng khỏe cho sò tản nhiệt.</t>
  </si>
  <si>
    <t>Đo kiểm tra thông mạch, loại trừ hoàn toàn rủi ro chạm chập nguồn 12V/5V/3.3V bằng vạn năng kế</t>
  </si>
  <si>
    <t>BẮT BUỘC: Đo thông mạch giữa VCC và GND của các đường nguồn trước khi cắm điện cấp nguồn.</t>
  </si>
  <si>
    <t>3. Lập trình &amp; Test</t>
  </si>
  <si>
    <t>Lập trình đọc cảm biến nhiệt DS18B20 và hiển thị thông số nước liên tục lên màn hình màu TFT ST7789 SPI</t>
  </si>
  <si>
    <t>Sử dụng thư viện DallasTemperature và TFT_eSPI (cấu hình đúng chân SPI của ESP32-S3).</t>
  </si>
  <si>
    <t>Lập trình điều khiển hộc xoay thức ăn bằng Servo MG90S qua nút bấm vật lý và lập lịch giờ bằng RTC DS3231</t>
  </si>
  <si>
    <t>Gạt hộc xoay từ 0 độ sang 180 độ rồi quay về để xả lượng thức ăn mini.</t>
  </si>
  <si>
    <t>Lập trình thuật toán điều khiển đóng ngắt Chiller bằng xung PWM qua MOSFET với dải nhiệt độ Hysteresis bảo vệ cá</t>
  </si>
  <si>
    <t>Ví dụ: Temp &gt; 27°C bật Chiller, Temp &lt; 25.5°C ngắt Chiller để tránh cá bị sốc nhiệt bể 4.5L.</t>
  </si>
  <si>
    <t>4. IoT &amp; Trí tuệ nhân tạo</t>
  </si>
  <si>
    <t>Cấu hình Wi-Fi trên ESP32-S3 để truyền định kỳ chuỗi dữ liệu trạng thái JSON lên Server trung gian (Node-RED/Make)</t>
  </si>
  <si>
    <t>Gửi dữ liệu {nhiet_do, trang_thai_chiller, lan_cho_an} mỗi 5 phút.</t>
  </si>
  <si>
    <t>Tích hợp Gemini API trên Server để phân tích xu hướng nhiệt độ, dự báo sốc nhiệt và chẩn đoán lỗi thiết bị</t>
  </si>
  <si>
    <t>AI phát hiện lỗi nếu Chiller chạy liên tục &gt;1 tiếng mà nhiệt độ không giảm (mất nước mồi, hỏng sò).</t>
  </si>
  <si>
    <t>Thiết lập hệ thống gửi cảnh báo tự nhiên bằng tiếng Việt qua Zalo Official Account Bot API về điện thoại</t>
  </si>
  <si>
    <t>AI biên soạn lời nhắn thân thiện như: 'Hồ cá đang bốc hơi nhanh do Chiller chạy nhiều, châm thêm nước nhé!'</t>
  </si>
  <si>
    <t>Lắp đặt toàn bộ mạch PCB đã hoàn tất vào vỏ hộp in 3D, gá chắc chắn lên thành bể 4.5L và chạy thực tế nghiệm thu</t>
  </si>
  <si>
    <t>Cố định gọn gàng dây cảm biến và ống nước tránh rò rỉ điện vào bể.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</si>
</sst>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name val="Calibri"/>
    </font>
    <font>
      <sz val="11"/>
      <name val="Calibri"/>
    </font>
    <font>
      <u/>
      <sz val="11"/>
      <color rgb="FF0563C1"/>
      <name val="Calibri"/>
    </font>
    <font>
      <i/>
      <sz val="10"/>
      <name val="Calibri"/>
    </font>
    <font>
      <b/>
      <sz val="16"/>
      <color rgb="FF1F4E78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9EDF4"/>
        <bgColor rgb="FFE9EDF4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1F4E7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7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/>
    </xf>
    <xf numFmtId="0" fontId="2" fillId="9" borderId="2" xfId="0" applyFont="1" applyFill="1" applyBorder="1"/>
    <xf numFmtId="0" fontId="3" fillId="9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3" fillId="3" borderId="2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3" fillId="3" borderId="3" xfId="0" applyFont="1" applyFill="1" applyBorder="1" applyAlignment="1">
      <alignment horizontal="left" wrapText="1"/>
    </xf>
    <xf numFmtId="0" fontId="3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sz val="11"/>
        <color rgb="FFC00000"/>
        <name val="Calibri"/>
      </font>
      <fill>
        <patternFill patternType="solid">
          <fgColor rgb="FFFCE4D6"/>
          <bgColor rgb="FFFCE4D6"/>
        </patternFill>
      </fill>
    </dxf>
    <dxf>
      <font>
        <b/>
        <sz val="11"/>
        <color rgb="FF595959"/>
        <name val="Calibri"/>
      </font>
      <fill>
        <patternFill patternType="solid">
          <fgColor rgb="FFF2F2F2"/>
          <bgColor rgb="FFF2F2F2"/>
        </patternFill>
      </fill>
    </dxf>
    <dxf>
      <font>
        <b/>
        <sz val="11"/>
        <color rgb="FF1F4E78"/>
        <name val="Calibri"/>
      </font>
      <fill>
        <patternFill patternType="solid">
          <fgColor rgb="FFDCE6F1"/>
          <bgColor rgb="FFDCE6F1"/>
        </patternFill>
      </fill>
    </dxf>
    <dxf>
      <font>
        <b/>
        <sz val="11"/>
        <color rgb="FF375623"/>
        <name val="Calibri"/>
      </font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7"/>
  <sheetViews>
    <sheetView showGridLines="0" workbookViewId="0"/>
  </sheetViews>
  <sheetFormatPr defaultRowHeight="14.4"/>
  <cols>
    <col min="2" max="2" width="25" customWidth="1"/>
    <col min="3" max="3" width="60" customWidth="1"/>
  </cols>
  <sheetData>
    <row r="2" spans="2:3" ht="40.049999999999997" customHeight="1">
      <c r="B2" s="28" t="s">
        <v>0</v>
      </c>
      <c r="C2" s="29"/>
    </row>
    <row r="4" spans="2:3">
      <c r="B4" s="1" t="s">
        <v>1</v>
      </c>
      <c r="C4" s="2" t="s">
        <v>2</v>
      </c>
    </row>
    <row r="5" spans="2:3">
      <c r="B5" s="1" t="s">
        <v>3</v>
      </c>
      <c r="C5" s="2" t="s">
        <v>4</v>
      </c>
    </row>
    <row r="6" spans="2:3">
      <c r="B6" s="1" t="s">
        <v>5</v>
      </c>
      <c r="C6" s="2" t="s">
        <v>6</v>
      </c>
    </row>
    <row r="8" spans="2:3">
      <c r="B8" s="3" t="s">
        <v>7</v>
      </c>
    </row>
    <row r="9" spans="2:3">
      <c r="B9" s="4" t="s">
        <v>8</v>
      </c>
      <c r="C9" s="4" t="s">
        <v>9</v>
      </c>
    </row>
    <row r="10" spans="2:3">
      <c r="B10" s="5" t="s">
        <v>10</v>
      </c>
      <c r="C10" s="5" t="s">
        <v>11</v>
      </c>
    </row>
    <row r="11" spans="2:3">
      <c r="B11" s="5" t="s">
        <v>12</v>
      </c>
      <c r="C11" s="6" t="str">
        <f>HYPERLINK("#'Tien Do Du An'!A1", "Đi đến bảng tiến độ chi tiết →")</f>
        <v>Đi đến bảng tiến độ chi tiết →</v>
      </c>
    </row>
    <row r="13" spans="2:3">
      <c r="B13" s="3" t="s">
        <v>13</v>
      </c>
    </row>
    <row r="14" spans="2:3">
      <c r="B14" s="7" t="s">
        <v>14</v>
      </c>
      <c r="C14" s="5" t="s">
        <v>15</v>
      </c>
    </row>
    <row r="15" spans="2:3">
      <c r="B15" s="8" t="s">
        <v>16</v>
      </c>
      <c r="C15" s="5" t="s">
        <v>17</v>
      </c>
    </row>
    <row r="16" spans="2:3">
      <c r="B16" s="9" t="s">
        <v>18</v>
      </c>
      <c r="C16" s="5" t="s">
        <v>19</v>
      </c>
    </row>
    <row r="17" spans="2:3">
      <c r="B17" s="10" t="s">
        <v>20</v>
      </c>
      <c r="C17" s="5" t="s">
        <v>21</v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showGridLines="0" tabSelected="1" workbookViewId="0">
      <pane ySplit="6" topLeftCell="A7" activePane="bottomLeft" state="frozen"/>
      <selection pane="bottomLeft" activeCell="C21" sqref="C21"/>
    </sheetView>
  </sheetViews>
  <sheetFormatPr defaultRowHeight="14.4"/>
  <cols>
    <col min="1" max="1" width="6" customWidth="1"/>
    <col min="2" max="2" width="25" customWidth="1"/>
    <col min="3" max="3" width="50" customWidth="1"/>
    <col min="4" max="4" width="18" customWidth="1"/>
    <col min="5" max="6" width="15" customWidth="1"/>
    <col min="7" max="7" width="60" customWidth="1"/>
  </cols>
  <sheetData>
    <row r="1" spans="1:7" ht="40.049999999999997" customHeight="1">
      <c r="A1" s="28" t="s">
        <v>22</v>
      </c>
      <c r="B1" s="29"/>
      <c r="C1" s="29"/>
      <c r="D1" s="29"/>
      <c r="E1" s="29"/>
      <c r="F1" s="29"/>
      <c r="G1" s="29"/>
    </row>
    <row r="3" spans="1:7" ht="19.95" customHeight="1">
      <c r="B3" s="30" t="s">
        <v>23</v>
      </c>
      <c r="C3" s="11" t="s">
        <v>24</v>
      </c>
      <c r="D3" s="11" t="s">
        <v>18</v>
      </c>
      <c r="E3" s="11" t="s">
        <v>25</v>
      </c>
    </row>
    <row r="4" spans="1:7" ht="25.05" customHeight="1">
      <c r="B4" s="29"/>
      <c r="C4" s="12">
        <f>COUNTA(C8:C23)</f>
        <v>16</v>
      </c>
      <c r="D4" s="12">
        <f>COUNTIF(D8:D23, "Đã hoàn thành")</f>
        <v>3</v>
      </c>
      <c r="E4" s="13">
        <f>IFERROR(D4/C4, 0)</f>
        <v>0.1875</v>
      </c>
    </row>
    <row r="6" spans="1:7" ht="28.05" customHeight="1">
      <c r="A6" s="14" t="s">
        <v>26</v>
      </c>
      <c r="B6" s="14" t="s">
        <v>27</v>
      </c>
      <c r="C6" s="14" t="s">
        <v>28</v>
      </c>
      <c r="D6" s="14" t="s">
        <v>29</v>
      </c>
      <c r="E6" s="14" t="s">
        <v>30</v>
      </c>
      <c r="F6" s="14" t="s">
        <v>31</v>
      </c>
      <c r="G6" s="14" t="s">
        <v>32</v>
      </c>
    </row>
    <row r="8" spans="1:7">
      <c r="A8" s="15">
        <v>1</v>
      </c>
      <c r="B8" s="16" t="s">
        <v>33</v>
      </c>
      <c r="C8" s="17" t="s">
        <v>34</v>
      </c>
      <c r="D8" s="18" t="s">
        <v>18</v>
      </c>
      <c r="E8" s="15" t="s">
        <v>35</v>
      </c>
      <c r="F8" s="15" t="s">
        <v>36</v>
      </c>
      <c r="G8" s="17" t="s">
        <v>37</v>
      </c>
    </row>
    <row r="9" spans="1:7" ht="28.8">
      <c r="A9" s="19">
        <v>2</v>
      </c>
      <c r="B9" s="20" t="s">
        <v>33</v>
      </c>
      <c r="C9" s="21" t="s">
        <v>38</v>
      </c>
      <c r="D9" s="18" t="s">
        <v>18</v>
      </c>
      <c r="E9" s="19" t="s">
        <v>36</v>
      </c>
      <c r="F9" s="19" t="s">
        <v>39</v>
      </c>
      <c r="G9" s="21" t="s">
        <v>40</v>
      </c>
    </row>
    <row r="10" spans="1:7" ht="28.8">
      <c r="A10" s="15">
        <v>3</v>
      </c>
      <c r="B10" s="16" t="s">
        <v>33</v>
      </c>
      <c r="C10" s="17" t="s">
        <v>41</v>
      </c>
      <c r="D10" s="18" t="s">
        <v>18</v>
      </c>
      <c r="E10" s="15" t="s">
        <v>39</v>
      </c>
      <c r="F10" s="15" t="s">
        <v>42</v>
      </c>
      <c r="G10" s="17" t="s">
        <v>43</v>
      </c>
    </row>
    <row r="11" spans="1:7" ht="28.8">
      <c r="A11" s="19">
        <v>4</v>
      </c>
      <c r="B11" s="20" t="s">
        <v>44</v>
      </c>
      <c r="C11" s="21" t="s">
        <v>45</v>
      </c>
      <c r="D11" s="18" t="s">
        <v>14</v>
      </c>
      <c r="E11" s="22"/>
      <c r="F11" s="22"/>
      <c r="G11" s="21" t="s">
        <v>46</v>
      </c>
    </row>
    <row r="12" spans="1:7" ht="43.2">
      <c r="A12" s="15">
        <v>5</v>
      </c>
      <c r="B12" s="16" t="s">
        <v>44</v>
      </c>
      <c r="C12" s="17" t="s">
        <v>47</v>
      </c>
      <c r="D12" s="18" t="s">
        <v>14</v>
      </c>
      <c r="E12" s="22"/>
      <c r="F12" s="22"/>
      <c r="G12" s="17" t="s">
        <v>48</v>
      </c>
    </row>
    <row r="13" spans="1:7" ht="43.2">
      <c r="A13" s="19">
        <v>6</v>
      </c>
      <c r="B13" s="20" t="s">
        <v>44</v>
      </c>
      <c r="C13" s="21" t="s">
        <v>49</v>
      </c>
      <c r="D13" s="18" t="s">
        <v>14</v>
      </c>
      <c r="E13" s="22"/>
      <c r="F13" s="22"/>
      <c r="G13" s="21" t="s">
        <v>50</v>
      </c>
    </row>
    <row r="14" spans="1:7" ht="28.8">
      <c r="A14" s="15">
        <v>7</v>
      </c>
      <c r="B14" s="16" t="s">
        <v>44</v>
      </c>
      <c r="C14" s="17" t="s">
        <v>51</v>
      </c>
      <c r="D14" s="18" t="s">
        <v>14</v>
      </c>
      <c r="E14" s="22"/>
      <c r="F14" s="22"/>
      <c r="G14" s="17" t="s">
        <v>52</v>
      </c>
    </row>
    <row r="15" spans="1:7" ht="28.8">
      <c r="A15" s="19">
        <v>8</v>
      </c>
      <c r="B15" s="20" t="s">
        <v>44</v>
      </c>
      <c r="C15" s="21" t="s">
        <v>53</v>
      </c>
      <c r="D15" s="18" t="s">
        <v>14</v>
      </c>
      <c r="E15" s="22"/>
      <c r="F15" s="22"/>
      <c r="G15" s="21" t="s">
        <v>54</v>
      </c>
    </row>
    <row r="16" spans="1:7" ht="28.8">
      <c r="A16" s="15">
        <v>9</v>
      </c>
      <c r="B16" s="16" t="s">
        <v>44</v>
      </c>
      <c r="C16" s="17" t="s">
        <v>55</v>
      </c>
      <c r="D16" s="18" t="s">
        <v>14</v>
      </c>
      <c r="E16" s="22"/>
      <c r="F16" s="22"/>
      <c r="G16" s="17" t="s">
        <v>56</v>
      </c>
    </row>
    <row r="17" spans="1:7" ht="28.8">
      <c r="A17" s="19">
        <v>10</v>
      </c>
      <c r="B17" s="20" t="s">
        <v>57</v>
      </c>
      <c r="C17" s="21" t="s">
        <v>58</v>
      </c>
      <c r="D17" s="18" t="s">
        <v>14</v>
      </c>
      <c r="E17" s="22"/>
      <c r="F17" s="22"/>
      <c r="G17" s="21" t="s">
        <v>59</v>
      </c>
    </row>
    <row r="18" spans="1:7" ht="28.8">
      <c r="A18" s="15">
        <v>11</v>
      </c>
      <c r="B18" s="16" t="s">
        <v>57</v>
      </c>
      <c r="C18" s="17" t="s">
        <v>60</v>
      </c>
      <c r="D18" s="18" t="s">
        <v>14</v>
      </c>
      <c r="E18" s="22"/>
      <c r="F18" s="22"/>
      <c r="G18" s="17" t="s">
        <v>61</v>
      </c>
    </row>
    <row r="19" spans="1:7" ht="28.8">
      <c r="A19" s="19">
        <v>12</v>
      </c>
      <c r="B19" s="20" t="s">
        <v>57</v>
      </c>
      <c r="C19" s="21" t="s">
        <v>62</v>
      </c>
      <c r="D19" s="18" t="s">
        <v>14</v>
      </c>
      <c r="E19" s="22"/>
      <c r="F19" s="22"/>
      <c r="G19" s="21" t="s">
        <v>63</v>
      </c>
    </row>
    <row r="20" spans="1:7" ht="28.8">
      <c r="A20" s="15">
        <v>13</v>
      </c>
      <c r="B20" s="16" t="s">
        <v>64</v>
      </c>
      <c r="C20" s="17" t="s">
        <v>65</v>
      </c>
      <c r="D20" s="18" t="s">
        <v>14</v>
      </c>
      <c r="E20" s="22"/>
      <c r="F20" s="22"/>
      <c r="G20" s="17" t="s">
        <v>66</v>
      </c>
    </row>
    <row r="21" spans="1:7" ht="28.8">
      <c r="A21" s="19">
        <v>14</v>
      </c>
      <c r="B21" s="20" t="s">
        <v>64</v>
      </c>
      <c r="C21" s="21" t="s">
        <v>67</v>
      </c>
      <c r="D21" s="18" t="s">
        <v>14</v>
      </c>
      <c r="E21" s="22"/>
      <c r="F21" s="22"/>
      <c r="G21" s="21" t="s">
        <v>68</v>
      </c>
    </row>
    <row r="22" spans="1:7" ht="28.8">
      <c r="A22" s="15">
        <v>15</v>
      </c>
      <c r="B22" s="16" t="s">
        <v>64</v>
      </c>
      <c r="C22" s="17" t="s">
        <v>69</v>
      </c>
      <c r="D22" s="18" t="s">
        <v>14</v>
      </c>
      <c r="E22" s="22"/>
      <c r="F22" s="22"/>
      <c r="G22" s="17" t="s">
        <v>70</v>
      </c>
    </row>
    <row r="23" spans="1:7" ht="28.8">
      <c r="A23" s="23">
        <v>16</v>
      </c>
      <c r="B23" s="24" t="s">
        <v>64</v>
      </c>
      <c r="C23" s="25" t="s">
        <v>71</v>
      </c>
      <c r="D23" s="26" t="s">
        <v>14</v>
      </c>
      <c r="E23" s="27"/>
      <c r="F23" s="27"/>
      <c r="G23" s="25" t="s">
        <v>72</v>
      </c>
    </row>
  </sheetData>
  <mergeCells count="2">
    <mergeCell ref="B3:B4"/>
    <mergeCell ref="A1:G1"/>
  </mergeCells>
  <conditionalFormatting sqref="D8:D23">
    <cfRule type="cellIs" dxfId="3" priority="1" operator="equal">
      <formula>"Đã hoàn thành"</formula>
    </cfRule>
    <cfRule type="cellIs" dxfId="2" priority="2" operator="equal">
      <formula>"Đang thực hiện"</formula>
    </cfRule>
    <cfRule type="cellIs" dxfId="1" priority="3" operator="equal">
      <formula>"Chưa bắt đầu"</formula>
    </cfRule>
    <cfRule type="cellIs" dxfId="0" priority="4" operator="equal">
      <formula>"Bị nghẽn"</formula>
    </cfRule>
  </conditionalFormatting>
  <dataValidations count="1">
    <dataValidation type="list" allowBlank="1" errorTitle="Lỗi chọn trạng thái" error="Giá trị chọn không hợp lệ" prompt="Vui lòng chọn trạng thái từ danh sách" sqref="D8 D9 D10 D11 D12 D13 D14 D15 D16 D17 D18 D19 D20 D21 D22 D23" xr:uid="{00000000-0002-0000-0100-000000000000}">
      <formula1>"Chưa bắt đầu,Đang thực hiện,Đã hoàn thành,Bị nghẽn"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 Dan &amp; Muc Luc</vt:lpstr>
      <vt:lpstr>Tien Do Du 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2026-08-25T00:46:01Z</dcterms:created>
  <dcterms:modified xsi:type="dcterms:W3CDTF">2026-08-25T00:48:24Z</dcterms:modified>
</cp:coreProperties>
</file>