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D33802-C519-49D9-A192-2ADF614A75E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ướng Dẫn &amp; Mục Lục" sheetId="1" r:id="rId1"/>
    <sheet name="Danh Sách Mua Sắ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2" l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19" i="2" s="1"/>
</calcChain>
</file>

<file path=xl/sharedStrings.xml><?xml version="1.0" encoding="utf-8"?>
<sst xmlns="http://schemas.openxmlformats.org/spreadsheetml/2006/main" count="119" uniqueCount="74">
  <si>
    <t>BẢNG DỰ TOÁN &amp; DANH SÁCH MUA SẮM LINH KIỆN</t>
  </si>
  <si>
    <t>Dự án: Bể cá thông minh tích hợp IoT + AI (ESP32-S3 &amp; Raspberry Pi W)</t>
  </si>
  <si>
    <t>HƯỚNG DẪN SỬ DỤNG FILE</t>
  </si>
  <si>
    <t>1. File này gồm 2 Tab: 'Hướng Dẫn &amp; Mục Lục' (tab này) và 'Danh Sách Mua Sắm' (chứa bảng giá và link chi tiết).</t>
  </si>
  <si>
    <t>2. Cột 'Trạng thái' trong tab mua sắm có bộ lọc Dropdown: 'Chưa mua', 'Đang giao', 'Đã mua' để bạn dễ quản lý.</t>
  </si>
  <si>
    <t>3. Các cột màu xanh nhạt (Đơn giá, Số lượng, Trạng thái) là các ô bạn có thể nhập/thay đổi thủ công.</t>
  </si>
  <si>
    <t>4. Cột 'Thành tiền' được tính tự động bằng công thức Excel, không cần nhập tay.</t>
  </si>
  <si>
    <t>5. File đã được cấu hình sẵn để in (Print-ready) ở dạng Landscape khổ A4.</t>
  </si>
  <si>
    <t>CHÚ GIẢI MÀU SẮC</t>
  </si>
  <si>
    <t>Màu sắc</t>
  </si>
  <si>
    <t>Ý nghĩa</t>
  </si>
  <si>
    <t>Ví dụ sử dụng</t>
  </si>
  <si>
    <t>Xanh nhạt</t>
  </si>
  <si>
    <t>Ô dữ liệu nhập tay (Input)</t>
  </si>
  <si>
    <t>Số lượng, Đơn giá</t>
  </si>
  <si>
    <t>Lá cây nhạt</t>
  </si>
  <si>
    <t>Ô tính toán tự động (Formula)</t>
  </si>
  <si>
    <t>Thành tiền, Tổng cộng</t>
  </si>
  <si>
    <t>Không màu</t>
  </si>
  <si>
    <t>Thông tin tham khảo cố định</t>
  </si>
  <si>
    <t>Tên linh kiện, Mô tả</t>
  </si>
  <si>
    <t>👉 Chuyển sang Tab danh sách mua sắm:</t>
  </si>
  <si>
    <t>Danh Sách Mua Sắm</t>
  </si>
  <si>
    <t>DANH SÁCH CHI TIẾT VÀ DỰ TOÁN LINH KIỆN HỒ CÁ THÔNG MINH</t>
  </si>
  <si>
    <t>Cập nhật ngày: 2026-08-23 | Phiên bản v1.0</t>
  </si>
  <si>
    <t>Danh mục</t>
  </si>
  <si>
    <t>Tên linh kiện / Thiết bị</t>
  </si>
  <si>
    <t>Thông số kỹ thuật / Vai trò</t>
  </si>
  <si>
    <t>Số lượng</t>
  </si>
  <si>
    <t>Đơn giá (VND)</t>
  </si>
  <si>
    <t>Thành tiền (VND)</t>
  </si>
  <si>
    <t>Cửa hàng gợi ý</t>
  </si>
  <si>
    <t>Link tham khảo</t>
  </si>
  <si>
    <t>Trạng thái</t>
  </si>
  <si>
    <t>Mạch &amp; Cảm biến</t>
  </si>
  <si>
    <t>ESP32-S3 DevKit C (N8R8/N16R8)</t>
  </si>
  <si>
    <t>Vi điều khiển trung tâm IoT + AI, 8MB PSRAM xử lý ảnh/wifi mạnh mẽ</t>
  </si>
  <si>
    <t>Hshop.vn</t>
  </si>
  <si>
    <t>Link sản phẩm</t>
  </si>
  <si>
    <t>Chưa mua</t>
  </si>
  <si>
    <t>Màn hình LCD TFT 1.54 Inch ST7789</t>
  </si>
  <si>
    <t>Hiển thị màu 240x240px sắc nét, giao tiếp SPI, điện áp 3.3VDC</t>
  </si>
  <si>
    <t>Cảm biến nhiệt độ DS18B20 chống nước</t>
  </si>
  <si>
    <t>Đọc nhiệt độ nước hồ cá, dây dài bọc kim loại chống nước tốt</t>
  </si>
  <si>
    <t>Micro Servo MG90S nhông kim loại</t>
  </si>
  <si>
    <t>Truyền động hộc xoay thức ăn tự động bền bỉ, lực kéo khỏe hơn SG90</t>
  </si>
  <si>
    <t>Module RTC DS3231 + Pin CR2032</t>
  </si>
  <si>
    <t>Thời gian thực chính xác cao để đặt lịch cho ăn khi mất mạng</t>
  </si>
  <si>
    <t>Hệ Chiller</t>
  </si>
  <si>
    <t>Bộ Tản Nhiệt Cho Sò Nóng Lạnh Đôi</t>
  </si>
  <si>
    <t>Bộ đầy đủ gồm tản nhôm, quạt 12V thổi mát mặt nóng sò Peltier</t>
  </si>
  <si>
    <t>Điện tử Tuyết Nga</t>
  </si>
  <si>
    <t>Sò nóng lạnh Peltier TEC1-12706 12V 60W</t>
  </si>
  <si>
    <t>Sò nóng lạnh tạo chênh lệch nhiệt độ làm lạnh nước bể cá</t>
  </si>
  <si>
    <t>Caka.vn / Tuyết Nga</t>
  </si>
  <si>
    <t>Khối nhôm tản nhiệt nước (Water Block) 40x40mm</t>
  </si>
  <si>
    <t>Khối nhôm dẫn nước từ lọc thác chạy qua mặt lạnh của sò</t>
  </si>
  <si>
    <t>Caka.vn</t>
  </si>
  <si>
    <t>Keo tản nhiệt MX-4 &amp; Ống dẻo silicone</t>
  </si>
  <si>
    <t>Tăng tiếp xúc truyền nhiệt mặt sò, ống dẫn nước tuần hoàn</t>
  </si>
  <si>
    <t>Nguồn &amp; Phụ trợ</t>
  </si>
  <si>
    <t>Nguồn tổ ong hoặc Adapter 12V - 5A</t>
  </si>
  <si>
    <t>Cấp nguồn tổng 12V công suất cao ổn định cho Chiller, quạt</t>
  </si>
  <si>
    <t>Mạch hạ áp Buck LM2596</t>
  </si>
  <si>
    <t>Hạ áp từ 12V xuống 5V/3A cấp cho ESP32, Servo, Màn hình</t>
  </si>
  <si>
    <t>Linh kiện PCB phụ trợ</t>
  </si>
  <si>
    <t>Mosfet IRLZ44N, Optocoupler PC817, Buzzer 5V, trở 4.7k, nút nhấn, dây bẹ</t>
  </si>
  <si>
    <t>Tuyệt Nga / Caka / ICdayroi</t>
  </si>
  <si>
    <t>Mạch PCB Đục Lỗ 1 Mặt Màu Xanh FR4 7x9cm</t>
  </si>
  <si>
    <t>Phíp thủy tinh cao cấp cứng cáp, chịu nhiệt tốt để tự hàn thủ công</t>
  </si>
  <si>
    <t>Máy tính nhúng (Tùy chọn)</t>
  </si>
  <si>
    <t>Máy tính Raspberry Pi Zero 2 W</t>
  </si>
  <si>
    <t>Làm server trung gian điều khiển, chạy local AI nhận diện hoặc Home Assistant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</si>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</sst>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i/>
      <sz val="11"/>
      <color rgb="FF595959"/>
      <name val="Calibri"/>
    </font>
    <font>
      <b/>
      <sz val="12"/>
      <color rgb="FF1F497D"/>
      <name val="Calibri"/>
    </font>
    <font>
      <sz val="11"/>
      <name val="Calibri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  <font>
      <sz val="11"/>
      <color rgb="FFFF0000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DCE6F1"/>
      </patternFill>
    </fill>
    <fill>
      <patternFill patternType="solid">
        <fgColor rgb="FFFF0000"/>
        <bgColor rgb="FFDCE6F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/>
    <xf numFmtId="3" fontId="5" fillId="4" borderId="2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ka.vn/collections/all" TargetMode="External"/><Relationship Id="rId13" Type="http://schemas.openxmlformats.org/officeDocument/2006/relationships/hyperlink" Target="https://caka.vn/mach-pcb-duc-lo-1-mat-mau-xanh-loai-tot-de-han" TargetMode="External"/><Relationship Id="rId3" Type="http://schemas.openxmlformats.org/officeDocument/2006/relationships/hyperlink" Target="https://hshop.vn/collections/all" TargetMode="External"/><Relationship Id="rId7" Type="http://schemas.openxmlformats.org/officeDocument/2006/relationships/hyperlink" Target="https://caka.vn/so-nong-lanh-12v-tec1-12706-60w-12710-100w-12715-150w" TargetMode="External"/><Relationship Id="rId12" Type="http://schemas.openxmlformats.org/officeDocument/2006/relationships/hyperlink" Target="https://dientutuyetnga.com/collections/all" TargetMode="External"/><Relationship Id="rId2" Type="http://schemas.openxmlformats.org/officeDocument/2006/relationships/hyperlink" Target="https://hshop.vn/products/man-hinh-lcd-tft-1-54-inch-st7789-spi-interface" TargetMode="External"/><Relationship Id="rId1" Type="http://schemas.openxmlformats.org/officeDocument/2006/relationships/hyperlink" Target="https://hshop.vn/collections/all" TargetMode="External"/><Relationship Id="rId6" Type="http://schemas.openxmlformats.org/officeDocument/2006/relationships/hyperlink" Target="https://dientutuyetnga.com/products/bo-tan-nhiet-cho-so-nong-lanh-doi-ban-day-du" TargetMode="External"/><Relationship Id="rId11" Type="http://schemas.openxmlformats.org/officeDocument/2006/relationships/hyperlink" Target="https://dientutuyetnga.com/collections/mach-giam-ap" TargetMode="External"/><Relationship Id="rId5" Type="http://schemas.openxmlformats.org/officeDocument/2006/relationships/hyperlink" Target="https://hshop.vn/collections/al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dientutuyetnga.com/collections/nguon-to-ong-nguon-xung" TargetMode="External"/><Relationship Id="rId4" Type="http://schemas.openxmlformats.org/officeDocument/2006/relationships/hyperlink" Target="https://hshop.vn/collections/all" TargetMode="External"/><Relationship Id="rId9" Type="http://schemas.openxmlformats.org/officeDocument/2006/relationships/hyperlink" Target="https://caka.vn/collections/all" TargetMode="External"/><Relationship Id="rId14" Type="http://schemas.openxmlformats.org/officeDocument/2006/relationships/hyperlink" Target="https://hshop.vn/products/may-tinh-raspberry-pi-zero-2-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9"/>
  <sheetViews>
    <sheetView showGridLines="0" workbookViewId="0"/>
  </sheetViews>
  <sheetFormatPr defaultRowHeight="14.4"/>
  <sheetData>
    <row r="2" spans="1:3" ht="21">
      <c r="A2" s="1" t="s">
        <v>0</v>
      </c>
    </row>
    <row r="3" spans="1:3">
      <c r="A3" s="2" t="s">
        <v>1</v>
      </c>
    </row>
    <row r="5" spans="1:3" ht="15.6">
      <c r="A5" s="3" t="s">
        <v>2</v>
      </c>
    </row>
    <row r="6" spans="1:3">
      <c r="A6" s="4" t="s">
        <v>3</v>
      </c>
    </row>
    <row r="7" spans="1:3">
      <c r="A7" s="4" t="s">
        <v>4</v>
      </c>
    </row>
    <row r="8" spans="1:3">
      <c r="A8" s="4" t="s">
        <v>5</v>
      </c>
    </row>
    <row r="9" spans="1:3">
      <c r="A9" s="4" t="s">
        <v>6</v>
      </c>
    </row>
    <row r="10" spans="1:3">
      <c r="A10" s="4" t="s">
        <v>7</v>
      </c>
    </row>
    <row r="13" spans="1:3" ht="15.6">
      <c r="A13" s="3" t="s">
        <v>8</v>
      </c>
    </row>
    <row r="14" spans="1:3" ht="28.8">
      <c r="A14" s="5" t="s">
        <v>9</v>
      </c>
      <c r="B14" s="5" t="s">
        <v>10</v>
      </c>
      <c r="C14" s="5" t="s">
        <v>11</v>
      </c>
    </row>
    <row r="15" spans="1:3" ht="43.2">
      <c r="A15" s="6" t="s">
        <v>12</v>
      </c>
      <c r="B15" s="7" t="s">
        <v>13</v>
      </c>
      <c r="C15" s="7" t="s">
        <v>14</v>
      </c>
    </row>
    <row r="16" spans="1:3" ht="57.6">
      <c r="A16" s="8" t="s">
        <v>15</v>
      </c>
      <c r="B16" s="7" t="s">
        <v>16</v>
      </c>
      <c r="C16" s="7" t="s">
        <v>17</v>
      </c>
    </row>
    <row r="17" spans="1:3" ht="57.6">
      <c r="A17" s="9" t="s">
        <v>18</v>
      </c>
      <c r="B17" s="7" t="s">
        <v>19</v>
      </c>
      <c r="C17" s="7" t="s">
        <v>20</v>
      </c>
    </row>
    <row r="19" spans="1:3">
      <c r="A19" s="10" t="s">
        <v>21</v>
      </c>
      <c r="B19" s="11" t="s">
        <v>22</v>
      </c>
    </row>
  </sheetData>
  <hyperlinks>
    <hyperlink ref="B19" location="'Danh Sách Mua Sắm'!A1" display="Danh Sách Mua Sắm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showGridLines="0" tabSelected="1" workbookViewId="0">
      <pane ySplit="4" topLeftCell="A8" activePane="bottomLeft" state="frozen"/>
      <selection pane="bottomLeft" activeCell="C15" sqref="C15"/>
    </sheetView>
  </sheetViews>
  <sheetFormatPr defaultRowHeight="14.4"/>
  <cols>
    <col min="1" max="1" width="22" customWidth="1"/>
    <col min="2" max="2" width="30" customWidth="1"/>
    <col min="3" max="3" width="45" customWidth="1"/>
    <col min="4" max="4" width="10" customWidth="1"/>
    <col min="5" max="5" width="15" customWidth="1"/>
    <col min="6" max="6" width="18" customWidth="1"/>
    <col min="7" max="7" width="20" customWidth="1"/>
    <col min="8" max="9" width="15" customWidth="1"/>
  </cols>
  <sheetData>
    <row r="1" spans="1:9" ht="21">
      <c r="A1" s="1" t="s">
        <v>23</v>
      </c>
    </row>
    <row r="2" spans="1:9">
      <c r="A2" s="2" t="s">
        <v>24</v>
      </c>
    </row>
    <row r="4" spans="1:9" ht="28.05" customHeight="1">
      <c r="A4" s="12" t="s">
        <v>25</v>
      </c>
      <c r="B4" s="12" t="s">
        <v>26</v>
      </c>
      <c r="C4" s="12" t="s">
        <v>27</v>
      </c>
      <c r="D4" s="12" t="s">
        <v>28</v>
      </c>
      <c r="E4" s="12" t="s">
        <v>29</v>
      </c>
      <c r="F4" s="12" t="s">
        <v>30</v>
      </c>
      <c r="G4" s="12" t="s">
        <v>31</v>
      </c>
      <c r="H4" s="12" t="s">
        <v>32</v>
      </c>
      <c r="I4" s="12" t="s">
        <v>33</v>
      </c>
    </row>
    <row r="5" spans="1:9" ht="28.8">
      <c r="A5" s="7" t="s">
        <v>34</v>
      </c>
      <c r="B5" s="13" t="s">
        <v>35</v>
      </c>
      <c r="C5" s="7" t="s">
        <v>36</v>
      </c>
      <c r="D5" s="14">
        <v>1</v>
      </c>
      <c r="E5" s="15">
        <v>180000</v>
      </c>
      <c r="F5" s="16">
        <f t="shared" ref="F5:F18" si="0">D5*E5</f>
        <v>180000</v>
      </c>
      <c r="G5" s="7" t="s">
        <v>37</v>
      </c>
      <c r="H5" s="17" t="s">
        <v>38</v>
      </c>
      <c r="I5" s="24" t="s">
        <v>39</v>
      </c>
    </row>
    <row r="6" spans="1:9" ht="28.8">
      <c r="A6" s="18" t="s">
        <v>34</v>
      </c>
      <c r="B6" s="19" t="s">
        <v>40</v>
      </c>
      <c r="C6" s="18" t="s">
        <v>41</v>
      </c>
      <c r="D6" s="14">
        <v>1</v>
      </c>
      <c r="E6" s="15">
        <v>95000</v>
      </c>
      <c r="F6" s="16">
        <f t="shared" si="0"/>
        <v>95000</v>
      </c>
      <c r="G6" s="18" t="s">
        <v>37</v>
      </c>
      <c r="H6" s="20" t="s">
        <v>38</v>
      </c>
      <c r="I6" s="25" t="s">
        <v>39</v>
      </c>
    </row>
    <row r="7" spans="1:9" ht="28.8">
      <c r="A7" s="7" t="s">
        <v>34</v>
      </c>
      <c r="B7" s="13" t="s">
        <v>42</v>
      </c>
      <c r="C7" s="7" t="s">
        <v>43</v>
      </c>
      <c r="D7" s="14">
        <v>1</v>
      </c>
      <c r="E7" s="15">
        <v>35000</v>
      </c>
      <c r="F7" s="16">
        <f t="shared" si="0"/>
        <v>35000</v>
      </c>
      <c r="G7" s="7" t="s">
        <v>37</v>
      </c>
      <c r="H7" s="17" t="s">
        <v>38</v>
      </c>
      <c r="I7" s="24" t="s">
        <v>39</v>
      </c>
    </row>
    <row r="8" spans="1:9" ht="28.8">
      <c r="A8" s="18" t="s">
        <v>34</v>
      </c>
      <c r="B8" s="19" t="s">
        <v>44</v>
      </c>
      <c r="C8" s="18" t="s">
        <v>45</v>
      </c>
      <c r="D8" s="14">
        <v>1</v>
      </c>
      <c r="E8" s="15">
        <v>45000</v>
      </c>
      <c r="F8" s="16">
        <f t="shared" si="0"/>
        <v>45000</v>
      </c>
      <c r="G8" s="18" t="s">
        <v>37</v>
      </c>
      <c r="H8" s="20" t="s">
        <v>38</v>
      </c>
      <c r="I8" s="24" t="s">
        <v>39</v>
      </c>
    </row>
    <row r="9" spans="1:9" ht="28.8">
      <c r="A9" s="7" t="s">
        <v>34</v>
      </c>
      <c r="B9" s="13" t="s">
        <v>46</v>
      </c>
      <c r="C9" s="7" t="s">
        <v>47</v>
      </c>
      <c r="D9" s="14">
        <v>1</v>
      </c>
      <c r="E9" s="15">
        <v>30000</v>
      </c>
      <c r="F9" s="16">
        <f t="shared" si="0"/>
        <v>30000</v>
      </c>
      <c r="G9" s="7" t="s">
        <v>37</v>
      </c>
      <c r="H9" s="17" t="s">
        <v>38</v>
      </c>
      <c r="I9" s="25" t="s">
        <v>39</v>
      </c>
    </row>
    <row r="10" spans="1:9" ht="28.8">
      <c r="A10" s="18" t="s">
        <v>48</v>
      </c>
      <c r="B10" s="19" t="s">
        <v>49</v>
      </c>
      <c r="C10" s="18" t="s">
        <v>50</v>
      </c>
      <c r="D10" s="14">
        <v>1</v>
      </c>
      <c r="E10" s="15">
        <v>178000</v>
      </c>
      <c r="F10" s="16">
        <f t="shared" si="0"/>
        <v>178000</v>
      </c>
      <c r="G10" s="18" t="s">
        <v>51</v>
      </c>
      <c r="H10" s="20" t="s">
        <v>38</v>
      </c>
      <c r="I10" s="24" t="s">
        <v>39</v>
      </c>
    </row>
    <row r="11" spans="1:9" ht="28.8">
      <c r="A11" s="7" t="s">
        <v>48</v>
      </c>
      <c r="B11" s="13" t="s">
        <v>52</v>
      </c>
      <c r="C11" s="7" t="s">
        <v>53</v>
      </c>
      <c r="D11" s="14">
        <v>1</v>
      </c>
      <c r="E11" s="15">
        <v>60000</v>
      </c>
      <c r="F11" s="16">
        <f t="shared" si="0"/>
        <v>60000</v>
      </c>
      <c r="G11" s="7" t="s">
        <v>54</v>
      </c>
      <c r="H11" s="17" t="s">
        <v>38</v>
      </c>
      <c r="I11" s="24" t="s">
        <v>39</v>
      </c>
    </row>
    <row r="12" spans="1:9" ht="28.8">
      <c r="A12" s="18" t="s">
        <v>48</v>
      </c>
      <c r="B12" s="19" t="s">
        <v>55</v>
      </c>
      <c r="C12" s="18" t="s">
        <v>56</v>
      </c>
      <c r="D12" s="14">
        <v>1</v>
      </c>
      <c r="E12" s="15">
        <v>45000</v>
      </c>
      <c r="F12" s="16">
        <f t="shared" si="0"/>
        <v>45000</v>
      </c>
      <c r="G12" s="18" t="s">
        <v>57</v>
      </c>
      <c r="H12" s="20" t="s">
        <v>38</v>
      </c>
      <c r="I12" s="24" t="s">
        <v>39</v>
      </c>
    </row>
    <row r="13" spans="1:9" ht="28.8">
      <c r="A13" s="7" t="s">
        <v>48</v>
      </c>
      <c r="B13" s="13" t="s">
        <v>58</v>
      </c>
      <c r="C13" s="7" t="s">
        <v>59</v>
      </c>
      <c r="D13" s="14">
        <v>1</v>
      </c>
      <c r="E13" s="15">
        <v>40000</v>
      </c>
      <c r="F13" s="16">
        <f t="shared" si="0"/>
        <v>40000</v>
      </c>
      <c r="G13" s="7" t="s">
        <v>54</v>
      </c>
      <c r="H13" s="17" t="s">
        <v>38</v>
      </c>
      <c r="I13" s="24" t="s">
        <v>39</v>
      </c>
    </row>
    <row r="14" spans="1:9" ht="28.8">
      <c r="A14" s="18" t="s">
        <v>60</v>
      </c>
      <c r="B14" s="19" t="s">
        <v>61</v>
      </c>
      <c r="C14" s="18" t="s">
        <v>62</v>
      </c>
      <c r="D14" s="14">
        <v>1</v>
      </c>
      <c r="E14" s="15">
        <v>110000</v>
      </c>
      <c r="F14" s="16">
        <f t="shared" si="0"/>
        <v>110000</v>
      </c>
      <c r="G14" s="18" t="s">
        <v>51</v>
      </c>
      <c r="H14" s="20" t="s">
        <v>38</v>
      </c>
      <c r="I14" s="24" t="s">
        <v>39</v>
      </c>
    </row>
    <row r="15" spans="1:9" ht="28.8">
      <c r="A15" s="7" t="s">
        <v>60</v>
      </c>
      <c r="B15" s="13" t="s">
        <v>63</v>
      </c>
      <c r="C15" s="7" t="s">
        <v>64</v>
      </c>
      <c r="D15" s="14">
        <v>1</v>
      </c>
      <c r="E15" s="15">
        <v>20000</v>
      </c>
      <c r="F15" s="16">
        <f t="shared" si="0"/>
        <v>20000</v>
      </c>
      <c r="G15" s="7" t="s">
        <v>51</v>
      </c>
      <c r="H15" s="17" t="s">
        <v>38</v>
      </c>
      <c r="I15" s="26" t="s">
        <v>39</v>
      </c>
    </row>
    <row r="16" spans="1:9" ht="28.8">
      <c r="A16" s="18" t="s">
        <v>60</v>
      </c>
      <c r="B16" s="19" t="s">
        <v>65</v>
      </c>
      <c r="C16" s="18" t="s">
        <v>66</v>
      </c>
      <c r="D16" s="14">
        <v>1</v>
      </c>
      <c r="E16" s="15">
        <v>90000</v>
      </c>
      <c r="F16" s="16">
        <f t="shared" si="0"/>
        <v>90000</v>
      </c>
      <c r="G16" s="18" t="s">
        <v>67</v>
      </c>
      <c r="H16" s="20" t="s">
        <v>38</v>
      </c>
      <c r="I16" s="25" t="s">
        <v>39</v>
      </c>
    </row>
    <row r="17" spans="1:9" ht="28.8">
      <c r="A17" s="7" t="s">
        <v>60</v>
      </c>
      <c r="B17" s="13" t="s">
        <v>68</v>
      </c>
      <c r="C17" s="7" t="s">
        <v>69</v>
      </c>
      <c r="D17" s="14">
        <v>1</v>
      </c>
      <c r="E17" s="15">
        <v>15000</v>
      </c>
      <c r="F17" s="16">
        <f t="shared" si="0"/>
        <v>15000</v>
      </c>
      <c r="G17" s="7" t="s">
        <v>57</v>
      </c>
      <c r="H17" s="17" t="s">
        <v>38</v>
      </c>
      <c r="I17" s="24" t="s">
        <v>39</v>
      </c>
    </row>
    <row r="18" spans="1:9" ht="28.8">
      <c r="A18" s="18" t="s">
        <v>70</v>
      </c>
      <c r="B18" s="19" t="s">
        <v>71</v>
      </c>
      <c r="C18" s="18" t="s">
        <v>72</v>
      </c>
      <c r="D18" s="14">
        <v>1</v>
      </c>
      <c r="E18" s="15">
        <v>729000</v>
      </c>
      <c r="F18" s="16">
        <f t="shared" si="0"/>
        <v>729000</v>
      </c>
      <c r="G18" s="18" t="s">
        <v>37</v>
      </c>
      <c r="H18" s="20" t="s">
        <v>38</v>
      </c>
      <c r="I18" s="24" t="s">
        <v>39</v>
      </c>
    </row>
    <row r="19" spans="1:9">
      <c r="A19" s="21" t="s">
        <v>73</v>
      </c>
      <c r="B19" s="22"/>
      <c r="C19" s="22"/>
      <c r="D19" s="22"/>
      <c r="E19" s="22"/>
      <c r="F19" s="23">
        <f>SUM(F5:F18)</f>
        <v>1672000</v>
      </c>
      <c r="G19" s="22"/>
      <c r="H19" s="22"/>
      <c r="I19" s="22"/>
    </row>
  </sheetData>
  <dataValidations count="1">
    <dataValidation type="list" allowBlank="1" sqref="I5:I18" xr:uid="{00000000-0002-0000-0100-000000000000}">
      <formula1>"Chưa mua,Đang giao,Đã mua"</formula1>
    </dataValidation>
  </dataValidations>
  <hyperlinks>
    <hyperlink ref="H5" r:id="rId1" xr:uid="{00000000-0004-0000-0100-000000000000}"/>
    <hyperlink ref="H6" r:id="rId2" xr:uid="{00000000-0004-0000-0100-000001000000}"/>
    <hyperlink ref="H7" r:id="rId3" xr:uid="{00000000-0004-0000-0100-000002000000}"/>
    <hyperlink ref="H8" r:id="rId4" xr:uid="{00000000-0004-0000-0100-000003000000}"/>
    <hyperlink ref="H9" r:id="rId5" xr:uid="{00000000-0004-0000-0100-000004000000}"/>
    <hyperlink ref="H10" r:id="rId6" xr:uid="{00000000-0004-0000-0100-000005000000}"/>
    <hyperlink ref="H11" r:id="rId7" xr:uid="{00000000-0004-0000-0100-000006000000}"/>
    <hyperlink ref="H12" r:id="rId8" xr:uid="{00000000-0004-0000-0100-000007000000}"/>
    <hyperlink ref="H13" r:id="rId9" xr:uid="{00000000-0004-0000-0100-000008000000}"/>
    <hyperlink ref="H14" r:id="rId10" xr:uid="{00000000-0004-0000-0100-000009000000}"/>
    <hyperlink ref="H15" r:id="rId11" xr:uid="{00000000-0004-0000-0100-00000A000000}"/>
    <hyperlink ref="H16" r:id="rId12" xr:uid="{00000000-0004-0000-0100-00000B000000}"/>
    <hyperlink ref="H17" r:id="rId13" xr:uid="{00000000-0004-0000-0100-00000C000000}"/>
    <hyperlink ref="H18" r:id="rId14" xr:uid="{00000000-0004-0000-0100-00000D000000}"/>
  </hyperlinks>
  <pageMargins left="0.75" right="0.75" top="1" bottom="1" header="0.5" footer="0.5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 &amp; Mục Lục</vt:lpstr>
      <vt:lpstr>Danh Sách Mua Sắm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2026-08-24T06:41:22Z</dcterms:created>
  <dcterms:modified xsi:type="dcterms:W3CDTF">2026-08-24T12:42:49Z</dcterms:modified>
</cp:coreProperties>
</file>